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/>
  <mc:AlternateContent xmlns:mc="http://schemas.openxmlformats.org/markup-compatibility/2006">
    <mc:Choice Requires="x15">
      <x15ac:absPath xmlns:x15ac="http://schemas.microsoft.com/office/spreadsheetml/2010/11/ac" url="C:\Users\SAMIKSHA BARNWAL\Downloads\"/>
    </mc:Choice>
  </mc:AlternateContent>
  <xr:revisionPtr revIDLastSave="0" documentId="13_ncr:1_{0172AE99-538B-4566-BC03-9161A01F03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sessment" sheetId="1" r:id="rId1"/>
    <sheet name="data Employee" sheetId="2" r:id="rId2"/>
    <sheet name="data Department" sheetId="3" r:id="rId3"/>
    <sheet name="Summary" sheetId="6" r:id="rId4"/>
    <sheet name="data Salary Bonus Calculation " sheetId="4" r:id="rId5"/>
  </sheets>
  <externalReferences>
    <externalReference r:id="rId6"/>
  </externalReferences>
  <definedNames>
    <definedName name="_xlcn.WorksheetConnection_GTMAssessment.xlsxBonusTable" hidden="1">BonusTable[]</definedName>
    <definedName name="_xlcn.WorksheetConnection_GTMAssessment.xlsxDepartmentTable" hidden="1">DepartmentTable[]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Assessment!$G$23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DepartmentTable" name="DepartmentTable" connection="WorksheetConnection_GTM Assessment.xlsx!DepartmentTable"/>
          <x15:modelTable id="BonusTable" name="BonusTable" connection="WorksheetConnection_GTM Assessment.xlsx!Bonus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 a="1"/>
  <c r="F3" i="6" s="1"/>
  <c r="F4" i="6" a="1"/>
  <c r="F4" i="6" s="1"/>
  <c r="F5" i="6" a="1"/>
  <c r="F5" i="6" s="1"/>
  <c r="F6" i="6" a="1"/>
  <c r="F6" i="6" s="1"/>
  <c r="F7" i="6" a="1"/>
  <c r="F7" i="6" s="1"/>
  <c r="E3" i="6"/>
  <c r="E4" i="6"/>
  <c r="E5" i="6"/>
  <c r="E6" i="6"/>
  <c r="E7" i="6"/>
  <c r="D3" i="6" a="1"/>
  <c r="D3" i="6" s="1"/>
  <c r="D4" i="6" a="1"/>
  <c r="D4" i="6" s="1"/>
  <c r="D5" i="6" a="1"/>
  <c r="D5" i="6" s="1"/>
  <c r="D6" i="6" a="1"/>
  <c r="D6" i="6" s="1"/>
  <c r="D7" i="6" a="1"/>
  <c r="D7" i="6" s="1"/>
  <c r="C3" i="6"/>
  <c r="C4" i="6"/>
  <c r="C5" i="6"/>
  <c r="C6" i="6"/>
  <c r="C7" i="6"/>
  <c r="B3" i="6"/>
  <c r="B4" i="6"/>
  <c r="B5" i="6"/>
  <c r="B6" i="6"/>
  <c r="B7" i="6"/>
  <c r="A2" i="6" a="1"/>
  <c r="A2" i="6" s="1"/>
  <c r="D6" i="4"/>
  <c r="D9" i="4"/>
  <c r="D3" i="4"/>
  <c r="D11" i="4"/>
  <c r="D10" i="4"/>
  <c r="D8" i="4"/>
  <c r="D7" i="4"/>
  <c r="D5" i="4"/>
  <c r="D4" i="4"/>
  <c r="D2" i="4"/>
  <c r="C5" i="2"/>
  <c r="C11" i="2"/>
  <c r="C10" i="2"/>
  <c r="C9" i="2"/>
  <c r="C8" i="2"/>
  <c r="C7" i="2"/>
  <c r="C6" i="2"/>
  <c r="C4" i="2"/>
  <c r="C3" i="2"/>
  <c r="C2" i="2"/>
  <c r="C2" i="6" l="1"/>
  <c r="E2" i="6"/>
  <c r="D2" i="6" a="1"/>
  <c r="D2" i="6" s="1"/>
  <c r="F2" i="6" a="1"/>
  <c r="F2" i="6" s="1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98AC8-B11C-42BC-B848-7F0731E296F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D60BF1-791B-4954-BB2A-86B51E8500E2}" name="WorksheetConnection_GTM Assessment.xlsx!BonusTable" type="102" refreshedVersion="8" minRefreshableVersion="5">
    <extLst>
      <ext xmlns:x15="http://schemas.microsoft.com/office/spreadsheetml/2010/11/main" uri="{DE250136-89BD-433C-8126-D09CA5730AF9}">
        <x15:connection id="BonusTable">
          <x15:rangePr sourceName="_xlcn.WorksheetConnection_GTMAssessment.xlsxBonusTable"/>
        </x15:connection>
      </ext>
    </extLst>
  </connection>
  <connection id="3" xr16:uid="{C91A2473-9928-44A3-969C-637C7F3C4B3A}" name="WorksheetConnection_GTM Assessment.xlsx!DepartmentTable" type="102" refreshedVersion="8" minRefreshableVersion="5">
    <extLst>
      <ext xmlns:x15="http://schemas.microsoft.com/office/spreadsheetml/2010/11/main" uri="{DE250136-89BD-433C-8126-D09CA5730AF9}">
        <x15:connection id="DepartmentTable">
          <x15:rangePr sourceName="_xlcn.WorksheetConnection_GTMAssessment.xlsxDepartmentTable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<sst xmlns="http://schemas.openxmlformats.org/spreadsheetml/2006/main" count="84" uniqueCount="56">
  <si>
    <t>Q1</t>
  </si>
  <si>
    <t>Clean up the data in "data: Employee" tab</t>
  </si>
  <si>
    <r>
      <rPr>
        <sz val="10"/>
        <color theme="1"/>
        <rFont val="Arial"/>
        <family val="2"/>
      </rPr>
      <t xml:space="preserve">eg: 
Correct inconsistent date formats
Remove special characters from names
</t>
    </r>
    <r>
      <rPr>
        <i/>
        <sz val="10"/>
        <color theme="1"/>
        <rFont val="Arial"/>
        <family val="2"/>
      </rPr>
      <t>(Feel free to come up with more cleaning ideas)</t>
    </r>
  </si>
  <si>
    <t>Q2</t>
  </si>
  <si>
    <t>After cleaning the data in above task, complete the following summary table:</t>
  </si>
  <si>
    <t>Note: If department name is not present, substitute it with "Unknown"
To calculate the bonus amount, use "data: Salary Bonus Calculation" (if Bonus % is not present, use 10% as default value)</t>
  </si>
  <si>
    <t>Note:</t>
  </si>
  <si>
    <t>Everything must be formula driven</t>
  </si>
  <si>
    <t>Department ID</t>
  </si>
  <si>
    <t>Department Name</t>
  </si>
  <si>
    <t>Number of employees in the department</t>
  </si>
  <si>
    <t>List of employees in the department</t>
  </si>
  <si>
    <t>Avg Salary of the employees in the department</t>
  </si>
  <si>
    <t>Total Bonus to be given</t>
  </si>
  <si>
    <t>D001</t>
  </si>
  <si>
    <t>Sales</t>
  </si>
  <si>
    <t>John Doe, Sam Patel</t>
  </si>
  <si>
    <t>D002</t>
  </si>
  <si>
    <t>D003</t>
  </si>
  <si>
    <t>IT</t>
  </si>
  <si>
    <t>D004</t>
  </si>
  <si>
    <t>₹55,000</t>
  </si>
  <si>
    <t>D005</t>
  </si>
  <si>
    <t>Chris OBrien</t>
  </si>
  <si>
    <t>Unknown</t>
  </si>
  <si>
    <t>Employee ID</t>
  </si>
  <si>
    <t>Name</t>
  </si>
  <si>
    <t>Join Date</t>
  </si>
  <si>
    <t>Salary</t>
  </si>
  <si>
    <t>John Doe</t>
  </si>
  <si>
    <t>jane smith</t>
  </si>
  <si>
    <t>Mark@Johnson</t>
  </si>
  <si>
    <t>Sam Patel</t>
  </si>
  <si>
    <t>Emily, Brown</t>
  </si>
  <si>
    <t>Chris O'Brien</t>
  </si>
  <si>
    <t>Robert Brown</t>
  </si>
  <si>
    <t>Linda White</t>
  </si>
  <si>
    <t>James Black</t>
  </si>
  <si>
    <t>Sarah Miller</t>
  </si>
  <si>
    <t>Marketing</t>
  </si>
  <si>
    <t>HR</t>
  </si>
  <si>
    <t>Finance</t>
  </si>
  <si>
    <t>Bonus %</t>
  </si>
  <si>
    <t>Bonus Amount</t>
  </si>
  <si>
    <t>₹50,000</t>
  </si>
  <si>
    <t>₹60,000</t>
  </si>
  <si>
    <t>₹48,000</t>
  </si>
  <si>
    <t>₹52,000</t>
  </si>
  <si>
    <t>-</t>
  </si>
  <si>
    <t>₹49,500</t>
  </si>
  <si>
    <t>₹57,500</t>
  </si>
  <si>
    <t>₹54,000</t>
  </si>
  <si>
    <t>₹61,500</t>
  </si>
  <si>
    <t>₹58,000</t>
  </si>
  <si>
    <t xml:space="preserve">Salary </t>
  </si>
  <si>
    <t>CLEANED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</si>
</sst>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.75"/>
      <name val="Courier New"/>
      <family val="3"/>
    </font>
    <font>
      <sz val="8.75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52525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9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3" fontId="1" fillId="0" borderId="0" xfId="0" applyNumberFormat="1" applyFont="1"/>
    <xf numFmtId="0" fontId="6" fillId="0" borderId="0" xfId="0" applyFont="1"/>
    <xf numFmtId="0" fontId="1" fillId="0" borderId="2" xfId="0" applyFont="1" applyBorder="1"/>
    <xf numFmtId="3" fontId="1" fillId="0" borderId="3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14" fontId="1" fillId="0" borderId="8" xfId="0" applyNumberFormat="1" applyFont="1" applyBorder="1" applyAlignment="1">
      <alignment horizontal="right"/>
    </xf>
    <xf numFmtId="3" fontId="1" fillId="0" borderId="9" xfId="0" applyNumberFormat="1" applyFont="1" applyBorder="1"/>
    <xf numFmtId="0" fontId="1" fillId="0" borderId="3" xfId="0" applyFont="1" applyBorder="1"/>
    <xf numFmtId="0" fontId="1" fillId="0" borderId="9" xfId="0" applyFont="1" applyBorder="1"/>
    <xf numFmtId="9" fontId="1" fillId="0" borderId="8" xfId="0" applyNumberFormat="1" applyFont="1" applyBorder="1"/>
    <xf numFmtId="0" fontId="7" fillId="0" borderId="0" xfId="0" applyFont="1"/>
    <xf numFmtId="0" fontId="8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%20Salary%20Bonus%20Calcul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alary Bonus Calculatio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A4E5B-8798-46E7-8A3C-3036DA396C6E}" name="EmployeeTable" displayName="EmployeeTable" ref="A1:F11" totalsRowShown="0" headerRowDxfId="24" dataDxfId="22" headerRowBorderDxfId="23" tableBorderDxfId="21" totalsRowBorderDxfId="20">
  <autoFilter ref="A1:F11" xr:uid="{B50A4E5B-8798-46E7-8A3C-3036DA396C6E}"/>
  <tableColumns count="6">
    <tableColumn id="1" xr3:uid="{066232E0-765F-4ABA-93A6-FE91571E0AE4}" name="Employee ID" dataDxfId="19"/>
    <tableColumn id="2" xr3:uid="{D2F9BB72-FF48-47B8-966C-0DA08F62CCE8}" name="Name" dataDxfId="18"/>
    <tableColumn id="3" xr3:uid="{34A4F107-D160-49F0-90E4-8B2CB1335EC0}" name="CLEANED NAME" dataDxfId="17">
      <calculatedColumnFormula>B2</calculatedColumnFormula>
    </tableColumn>
    <tableColumn id="4" xr3:uid="{5880D22A-4059-46BF-81C7-A0352C779581}" name="Department ID" dataDxfId="16"/>
    <tableColumn id="5" xr3:uid="{281CB500-13C2-4E3A-9EF7-B9FBA6BD0E3B}" name="Join Date" dataDxfId="15"/>
    <tableColumn id="6" xr3:uid="{D7DD0C42-0BE9-4740-A4F6-66E27A21C889}" name="Salary 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B0E46A-5BEB-4C76-8C66-9EB6CCB69E61}" name="DepartmentTable" displayName="DepartmentTable" ref="A1:B6" totalsRowShown="0" headerRowDxfId="13" headerRowBorderDxfId="12" tableBorderDxfId="11" totalsRowBorderDxfId="10">
  <autoFilter ref="A1:B6" xr:uid="{96B0E46A-5BEB-4C76-8C66-9EB6CCB69E61}"/>
  <tableColumns count="2">
    <tableColumn id="1" xr3:uid="{B94776EE-DAEC-4C75-8D8E-9F6B1ACCDA5A}" name="Department ID" dataDxfId="9"/>
    <tableColumn id="2" xr3:uid="{D4EF5E64-BA1A-45B4-BB35-7F63028967E2}" name="Department Nam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3180B-7AF2-4288-8C86-689A11B4E79F}" name="BonusTable" displayName="BonusTable" ref="A1:D11" totalsRowShown="0" headerRowDxfId="7" headerRowBorderDxfId="6" tableBorderDxfId="5" totalsRowBorderDxfId="4">
  <autoFilter ref="A1:D11" xr:uid="{DC13180B-7AF2-4288-8C86-689A11B4E79F}"/>
  <tableColumns count="4">
    <tableColumn id="1" xr3:uid="{87E02EAB-E840-4603-B803-105FC4B9AB7A}" name="Employee ID" dataDxfId="3"/>
    <tableColumn id="2" xr3:uid="{4146DB31-21C5-4546-93E4-3DD8C35B4500}" name="Salary" dataDxfId="2"/>
    <tableColumn id="3" xr3:uid="{B4F5615D-A592-48AC-875F-2DD532FFCB8A}" name="Bonus %" dataDxfId="1"/>
    <tableColumn id="4" xr3:uid="{A8EB9CD9-B46D-424F-B144-706CE5BC0B8F}" name="Bonus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6A96646-239B-4097-BDE5-F26A2AFB435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8S8vS6pIUfsTE1CKYv2r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ED4A47A-B726-4F0B-83B0-3B3D063E37DC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tabSelected="1" workbookViewId="0">
      <selection activeCell="F20" sqref="F20"/>
    </sheetView>
  </sheetViews>
  <sheetFormatPr defaultColWidth="12.6640625" defaultRowHeight="15.75" customHeight="1" x14ac:dyDescent="0.25"/>
  <cols>
    <col min="4" max="4" width="20.21875" customWidth="1"/>
    <col min="5" max="5" width="19.21875" customWidth="1"/>
    <col min="6" max="6" width="25.109375" customWidth="1"/>
    <col min="7" max="7" width="20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3</v>
      </c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6</v>
      </c>
      <c r="B9" s="2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/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"/>
      <c r="B12" s="5" t="s">
        <v>14</v>
      </c>
      <c r="C12" s="5" t="s">
        <v>15</v>
      </c>
      <c r="D12" s="5">
        <v>2</v>
      </c>
      <c r="E12" s="5" t="s">
        <v>16</v>
      </c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 t="s">
        <v>17</v>
      </c>
      <c r="C13" s="5"/>
      <c r="D13" s="5">
        <v>2</v>
      </c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5" t="s">
        <v>18</v>
      </c>
      <c r="C14" s="5" t="s">
        <v>19</v>
      </c>
      <c r="D14" s="5">
        <v>2</v>
      </c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5" t="s">
        <v>20</v>
      </c>
      <c r="C15" s="5"/>
      <c r="D15" s="5">
        <v>2</v>
      </c>
      <c r="E15" s="5"/>
      <c r="F15" s="5" t="s">
        <v>21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5" t="s">
        <v>22</v>
      </c>
      <c r="C16" s="5"/>
      <c r="D16" s="5">
        <v>1</v>
      </c>
      <c r="E16" s="5" t="s">
        <v>23</v>
      </c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5" t="s">
        <v>24</v>
      </c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"/>
  <sheetViews>
    <sheetView showGridLines="0" workbookViewId="0">
      <selection activeCell="D9" sqref="D9"/>
    </sheetView>
  </sheetViews>
  <sheetFormatPr defaultColWidth="12.6640625" defaultRowHeight="15.75" customHeight="1" x14ac:dyDescent="0.25"/>
  <cols>
    <col min="1" max="1" width="13.6640625" customWidth="1"/>
    <col min="3" max="3" width="17.44140625" customWidth="1"/>
    <col min="4" max="4" width="15.44140625" customWidth="1"/>
    <col min="5" max="5" width="12.6640625" style="9"/>
  </cols>
  <sheetData>
    <row r="1" spans="1:7" x14ac:dyDescent="0.25">
      <c r="A1" s="15" t="s">
        <v>25</v>
      </c>
      <c r="B1" s="16" t="s">
        <v>26</v>
      </c>
      <c r="C1" s="16" t="s">
        <v>55</v>
      </c>
      <c r="D1" s="16" t="s">
        <v>8</v>
      </c>
      <c r="E1" s="17" t="s">
        <v>27</v>
      </c>
      <c r="F1" s="18" t="s">
        <v>54</v>
      </c>
      <c r="G1" s="10"/>
    </row>
    <row r="2" spans="1:7" x14ac:dyDescent="0.25">
      <c r="A2" s="13">
        <v>101</v>
      </c>
      <c r="B2" s="6" t="s">
        <v>29</v>
      </c>
      <c r="C2" s="6" t="str">
        <f>TRIM(B2)</f>
        <v>John Doe</v>
      </c>
      <c r="D2" s="6" t="s">
        <v>14</v>
      </c>
      <c r="E2" s="8">
        <v>43862</v>
      </c>
      <c r="F2" s="14">
        <v>50000</v>
      </c>
      <c r="G2" s="11"/>
    </row>
    <row r="3" spans="1:7" x14ac:dyDescent="0.25">
      <c r="A3" s="13">
        <v>102</v>
      </c>
      <c r="B3" s="6" t="s">
        <v>30</v>
      </c>
      <c r="C3" s="6" t="str">
        <f>PROPER(TRIM(B3))</f>
        <v>Jane Smith</v>
      </c>
      <c r="D3" s="6" t="s">
        <v>20</v>
      </c>
      <c r="E3" s="8">
        <v>44267</v>
      </c>
      <c r="F3" s="14">
        <v>55000</v>
      </c>
      <c r="G3" s="11"/>
    </row>
    <row r="4" spans="1:7" x14ac:dyDescent="0.25">
      <c r="A4" s="13">
        <v>103</v>
      </c>
      <c r="B4" s="6" t="s">
        <v>31</v>
      </c>
      <c r="C4" s="6" t="str">
        <f>PROPER(SUBSTITUTE(TRIM(B4), "@"," "))</f>
        <v>Mark Johnson</v>
      </c>
      <c r="D4" s="6" t="s">
        <v>18</v>
      </c>
      <c r="E4" s="8">
        <v>43961</v>
      </c>
      <c r="F4" s="14">
        <v>60000</v>
      </c>
      <c r="G4" s="11"/>
    </row>
    <row r="5" spans="1:7" x14ac:dyDescent="0.25">
      <c r="A5" s="13">
        <v>104</v>
      </c>
      <c r="B5" s="6" t="s">
        <v>32</v>
      </c>
      <c r="C5" s="6" t="str">
        <f>B5</f>
        <v>Sam Patel</v>
      </c>
      <c r="D5" s="6" t="s">
        <v>14</v>
      </c>
      <c r="E5" s="8">
        <v>44722</v>
      </c>
      <c r="F5" s="14">
        <v>48000</v>
      </c>
      <c r="G5" s="11"/>
    </row>
    <row r="6" spans="1:7" x14ac:dyDescent="0.25">
      <c r="A6" s="13">
        <v>105</v>
      </c>
      <c r="B6" s="6" t="s">
        <v>33</v>
      </c>
      <c r="C6" s="6" t="str">
        <f>PROPER(SUBSTITUTE(TRIM(B6), ","," "))</f>
        <v>Emily  Brown</v>
      </c>
      <c r="D6" s="6" t="s">
        <v>20</v>
      </c>
      <c r="E6" s="8">
        <v>44392</v>
      </c>
      <c r="F6" s="14">
        <v>52000</v>
      </c>
      <c r="G6" s="11"/>
    </row>
    <row r="7" spans="1:7" x14ac:dyDescent="0.25">
      <c r="A7" s="13">
        <v>106</v>
      </c>
      <c r="B7" s="6" t="s">
        <v>34</v>
      </c>
      <c r="C7" s="6" t="str">
        <f>SUBSTITUTE(TRIM(B7), "'", "")</f>
        <v>Chris OBrien</v>
      </c>
      <c r="D7" s="6" t="s">
        <v>22</v>
      </c>
      <c r="E7" s="8">
        <v>44788</v>
      </c>
      <c r="F7" s="14">
        <v>49500</v>
      </c>
      <c r="G7" s="11"/>
    </row>
    <row r="8" spans="1:7" x14ac:dyDescent="0.25">
      <c r="A8" s="13">
        <v>107</v>
      </c>
      <c r="B8" s="6" t="s">
        <v>35</v>
      </c>
      <c r="C8" s="6" t="str">
        <f>B8</f>
        <v>Robert Brown</v>
      </c>
      <c r="D8" s="6" t="s">
        <v>17</v>
      </c>
      <c r="E8" s="8">
        <v>44525</v>
      </c>
      <c r="F8" s="14">
        <v>57500</v>
      </c>
      <c r="G8" s="11"/>
    </row>
    <row r="9" spans="1:7" x14ac:dyDescent="0.25">
      <c r="A9" s="13">
        <v>108</v>
      </c>
      <c r="B9" s="6" t="s">
        <v>36</v>
      </c>
      <c r="C9" s="6" t="str">
        <f>B9</f>
        <v>Linda White</v>
      </c>
      <c r="D9" s="6" t="s">
        <v>24</v>
      </c>
      <c r="E9" s="8">
        <v>44681</v>
      </c>
      <c r="F9" s="14">
        <v>54000</v>
      </c>
      <c r="G9" s="11"/>
    </row>
    <row r="10" spans="1:7" x14ac:dyDescent="0.25">
      <c r="A10" s="13">
        <v>109</v>
      </c>
      <c r="B10" s="6" t="s">
        <v>37</v>
      </c>
      <c r="C10" s="6" t="str">
        <f>B10</f>
        <v>James Black</v>
      </c>
      <c r="D10" s="6" t="s">
        <v>18</v>
      </c>
      <c r="E10" s="8">
        <v>44087</v>
      </c>
      <c r="F10" s="14">
        <v>61500</v>
      </c>
      <c r="G10" s="11"/>
    </row>
    <row r="11" spans="1:7" x14ac:dyDescent="0.25">
      <c r="A11" s="19">
        <v>110</v>
      </c>
      <c r="B11" s="20" t="s">
        <v>38</v>
      </c>
      <c r="C11" s="20" t="str">
        <f>B11</f>
        <v>Sarah Miller</v>
      </c>
      <c r="D11" s="20" t="s">
        <v>14</v>
      </c>
      <c r="E11" s="21">
        <v>44539</v>
      </c>
      <c r="F11" s="22">
        <v>58000</v>
      </c>
      <c r="G11" s="1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showGridLines="0" workbookViewId="0">
      <selection sqref="A1:B6"/>
    </sheetView>
  </sheetViews>
  <sheetFormatPr defaultColWidth="12.6640625" defaultRowHeight="15.75" customHeight="1" x14ac:dyDescent="0.25"/>
  <cols>
    <col min="1" max="1" width="15.44140625" customWidth="1"/>
    <col min="2" max="2" width="18.5546875" customWidth="1"/>
  </cols>
  <sheetData>
    <row r="1" spans="1:2" x14ac:dyDescent="0.25">
      <c r="A1" s="15" t="s">
        <v>8</v>
      </c>
      <c r="B1" s="18" t="s">
        <v>9</v>
      </c>
    </row>
    <row r="2" spans="1:2" x14ac:dyDescent="0.25">
      <c r="A2" s="13" t="s">
        <v>14</v>
      </c>
      <c r="B2" s="23" t="s">
        <v>15</v>
      </c>
    </row>
    <row r="3" spans="1:2" x14ac:dyDescent="0.25">
      <c r="A3" s="13" t="s">
        <v>17</v>
      </c>
      <c r="B3" s="23" t="s">
        <v>39</v>
      </c>
    </row>
    <row r="4" spans="1:2" x14ac:dyDescent="0.25">
      <c r="A4" s="13" t="s">
        <v>18</v>
      </c>
      <c r="B4" s="23" t="s">
        <v>19</v>
      </c>
    </row>
    <row r="5" spans="1:2" x14ac:dyDescent="0.25">
      <c r="A5" s="13" t="s">
        <v>20</v>
      </c>
      <c r="B5" s="23" t="s">
        <v>40</v>
      </c>
    </row>
    <row r="6" spans="1:2" x14ac:dyDescent="0.25">
      <c r="A6" s="19" t="s">
        <v>22</v>
      </c>
      <c r="B6" s="24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EBCC-B04A-4FA1-AFC4-8ADA077EEA2B}">
  <dimension ref="A1:F7"/>
  <sheetViews>
    <sheetView workbookViewId="0">
      <selection activeCell="E7" sqref="E7"/>
    </sheetView>
  </sheetViews>
  <sheetFormatPr defaultRowHeight="13.2" x14ac:dyDescent="0.25"/>
  <cols>
    <col min="1" max="1" width="13.33203125" customWidth="1"/>
    <col min="2" max="2" width="16" customWidth="1"/>
    <col min="3" max="3" width="18.109375" customWidth="1"/>
    <col min="4" max="4" width="32.6640625" customWidth="1"/>
    <col min="5" max="5" width="35.33203125" customWidth="1"/>
    <col min="6" max="6" width="25.5546875" customWidth="1"/>
  </cols>
  <sheetData>
    <row r="1" spans="1:6" x14ac:dyDescent="0.2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</row>
    <row r="2" spans="1:6" ht="13.8" thickBot="1" x14ac:dyDescent="0.3">
      <c r="A2" t="str" cm="1">
        <f t="array" ref="A2:A7">_xlfn.UNIQUE(_xlfn._xlws.FILTER(_xlfn.VSTACK('data Department'!A2:A6, 'data Employee'!D2:D11), _xlfn.VSTACK('data Department'!A2:A6, 'data Employee'!D2:D11)&lt;&gt;""))</f>
        <v>D001</v>
      </c>
      <c r="B2" s="28" t="str">
        <f>IFERROR(VLOOKUP(A2,'data Department'!$A$2:$B$6,2,FALSE),"Unknown")</f>
        <v>Sales</v>
      </c>
      <c r="C2">
        <f>COUNTIF('data Employee'!$D$2:$D$11, A2)</f>
        <v>3</v>
      </c>
      <c r="D2" t="str" cm="1">
        <f t="array" ref="D2">_xlfn.TEXTJOIN(", ", TRUE, IF('data Employee'!$D$2:$D$11=A2, 'data Employee'!$C$2:$C$11, ""))</f>
        <v>John Doe, Sam Patel, Sarah Miller</v>
      </c>
      <c r="E2" s="26">
        <f>IFERROR(AVERAGEIF('data Employee'!$D$2:$D$11, A2, 'data Employee'!$F$2:$F$11), "N/A")</f>
        <v>52000</v>
      </c>
      <c r="F2" cm="1">
        <f t="array" ref="F2">SUMPRODUCT(
  --('data Employee'!$D$2:$D$11=A2),
  IFERROR(
    VLOOKUP('data Employee'!$A$2:$A$11, '[1]data Salary Bonus Calculation'!$A$2:$D$11, 4, FALSE),
    'data Employee'!$F$2:$F$11*0.1
  )
)</f>
        <v>15600</v>
      </c>
    </row>
    <row r="3" spans="1:6" ht="13.8" thickBot="1" x14ac:dyDescent="0.3">
      <c r="A3" t="str">
        <v>D002</v>
      </c>
      <c r="B3" s="28" t="str">
        <f>IFERROR(VLOOKUP(A3,'data Department'!$A$2:$B$6,2,FALSE),"Unknown")</f>
        <v>Marketing</v>
      </c>
      <c r="C3">
        <f>COUNTIF('data Employee'!$D$2:$D$11, A3)</f>
        <v>1</v>
      </c>
      <c r="D3" t="str" cm="1">
        <f t="array" ref="D3">_xlfn.TEXTJOIN(", ", TRUE, IF('data Employee'!$D$2:$D$11=A3, 'data Employee'!$C$2:$C$11, ""))</f>
        <v>Robert Brown</v>
      </c>
      <c r="E3" s="26">
        <f>IFERROR(AVERAGEIF('data Employee'!$D$2:$D$11, A3, 'data Employee'!$F$2:$F$11), "N/A")</f>
        <v>57500</v>
      </c>
      <c r="F3" cm="1">
        <f t="array" ref="F3">SUMPRODUCT(
  --('data Employee'!$D$2:$D$11=A3),
  IFERROR(
    VLOOKUP('data Employee'!$A$2:$A$11, '[1]data Salary Bonus Calculation'!$A$2:$D$11, 4, FALSE),
    'data Employee'!$F$2:$F$11*0.1
  )
)</f>
        <v>5750</v>
      </c>
    </row>
    <row r="4" spans="1:6" ht="13.8" thickBot="1" x14ac:dyDescent="0.3">
      <c r="A4" t="str">
        <v>D003</v>
      </c>
      <c r="B4" s="28" t="str">
        <f>IFERROR(VLOOKUP(A4,'data Department'!$A$2:$B$6,2,FALSE),"Unknown")</f>
        <v>IT</v>
      </c>
      <c r="C4">
        <f>COUNTIF('data Employee'!$D$2:$D$11, A4)</f>
        <v>2</v>
      </c>
      <c r="D4" t="str" cm="1">
        <f t="array" ref="D4">_xlfn.TEXTJOIN(", ", TRUE, IF('data Employee'!$D$2:$D$11=A4, 'data Employee'!$C$2:$C$11, ""))</f>
        <v>Mark Johnson, James Black</v>
      </c>
      <c r="E4" s="26">
        <f>IFERROR(AVERAGEIF('data Employee'!$D$2:$D$11, A4, 'data Employee'!$F$2:$F$11), "N/A")</f>
        <v>60750</v>
      </c>
      <c r="F4" cm="1">
        <f t="array" ref="F4">SUMPRODUCT(
  --('data Employee'!$D$2:$D$11=A4),
  IFERROR(
    VLOOKUP('data Employee'!$A$2:$A$11, '[1]data Salary Bonus Calculation'!$A$2:$D$11, 4, FALSE),
    'data Employee'!$F$2:$F$11*0.1
  )
)</f>
        <v>12150</v>
      </c>
    </row>
    <row r="5" spans="1:6" ht="13.8" thickBot="1" x14ac:dyDescent="0.3">
      <c r="A5" t="str">
        <v>D004</v>
      </c>
      <c r="B5" s="28" t="str">
        <f>IFERROR(VLOOKUP(A5,'data Department'!$A$2:$B$6,2,FALSE),"Unknown")</f>
        <v>HR</v>
      </c>
      <c r="C5">
        <f>COUNTIF('data Employee'!$D$2:$D$11, A5)</f>
        <v>2</v>
      </c>
      <c r="D5" t="str" cm="1">
        <f t="array" ref="D5">_xlfn.TEXTJOIN(", ", TRUE, IF('data Employee'!$D$2:$D$11=A5, 'data Employee'!$C$2:$C$11, ""))</f>
        <v>Jane Smith, Emily  Brown</v>
      </c>
      <c r="E5" s="26">
        <f>IFERROR(AVERAGEIF('data Employee'!$D$2:$D$11, A5, 'data Employee'!$F$2:$F$11), "N/A")</f>
        <v>53500</v>
      </c>
      <c r="F5" cm="1">
        <f t="array" ref="F5">SUMPRODUCT(
  --('data Employee'!$D$2:$D$11=A5),
  IFERROR(
    VLOOKUP('data Employee'!$A$2:$A$11, '[1]data Salary Bonus Calculation'!$A$2:$D$11, 4, FALSE),
    'data Employee'!$F$2:$F$11*0.1
  )
)</f>
        <v>10700</v>
      </c>
    </row>
    <row r="6" spans="1:6" ht="13.8" thickBot="1" x14ac:dyDescent="0.3">
      <c r="A6" t="str">
        <v>D005</v>
      </c>
      <c r="B6" s="27" t="str">
        <f>IFERROR(VLOOKUP(A6,'data Department'!$A$2:$B$6,2,FALSE),"Unknown")</f>
        <v>Finance</v>
      </c>
      <c r="C6">
        <f>COUNTIF('data Employee'!$D$2:$D$11, A6)</f>
        <v>1</v>
      </c>
      <c r="D6" t="str" cm="1">
        <f t="array" ref="D6">_xlfn.TEXTJOIN(", ", TRUE, IF('data Employee'!$D$2:$D$11=A6, 'data Employee'!$C$2:$C$11, ""))</f>
        <v>Chris OBrien</v>
      </c>
      <c r="E6" s="26">
        <f>IFERROR(AVERAGEIF('data Employee'!$D$2:$D$11, A6, 'data Employee'!$F$2:$F$11), "N/A")</f>
        <v>49500</v>
      </c>
      <c r="F6" cm="1">
        <f t="array" ref="F6">SUMPRODUCT(
  --('data Employee'!$D$2:$D$11=A6),
  IFERROR(
    VLOOKUP('data Employee'!$A$2:$A$11, '[1]data Salary Bonus Calculation'!$A$2:$D$11, 4, FALSE),
    'data Employee'!$F$2:$F$11*0.1
  )
)</f>
        <v>4950</v>
      </c>
    </row>
    <row r="7" spans="1:6" ht="13.8" thickBot="1" x14ac:dyDescent="0.3">
      <c r="A7" t="str">
        <v>Unknown</v>
      </c>
      <c r="B7" s="28" t="str">
        <f>IFERROR(VLOOKUP(A7,'data Department'!$A$2:$B$6,2,FALSE),"Unknown")</f>
        <v>Unknown</v>
      </c>
      <c r="C7">
        <f>COUNTIF('data Employee'!$D$2:$D$11, A7)</f>
        <v>1</v>
      </c>
      <c r="D7" t="str" cm="1">
        <f t="array" ref="D7">_xlfn.TEXTJOIN(", ", TRUE, IF('data Employee'!$D$2:$D$11=A7, 'data Employee'!$C$2:$C$11, ""))</f>
        <v>Linda White</v>
      </c>
      <c r="E7" s="26">
        <f>IFERROR(AVERAGEIF('data Employee'!$D$2:$D$11, A7, 'data Employee'!$F$2:$F$11), "N/A")</f>
        <v>54000</v>
      </c>
      <c r="F7" cm="1">
        <f t="array" ref="F7">SUMPRODUCT(
  --('data Employee'!$D$2:$D$11=A7),
  IFERROR(
    VLOOKUP('data Employee'!$A$2:$A$11, '[1]data Salary Bonus Calculation'!$A$2:$D$11, 4, FALSE),
    'data Employee'!$F$2:$F$11*0.1
  )
)</f>
        <v>5400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"/>
  <sheetViews>
    <sheetView showGridLines="0" workbookViewId="0">
      <selection activeCell="D6" sqref="D6"/>
    </sheetView>
  </sheetViews>
  <sheetFormatPr defaultColWidth="12.6640625" defaultRowHeight="15.75" customHeight="1" x14ac:dyDescent="0.25"/>
  <cols>
    <col min="1" max="1" width="13.6640625" customWidth="1"/>
    <col min="4" max="4" width="15.88671875" customWidth="1"/>
  </cols>
  <sheetData>
    <row r="1" spans="1:4" x14ac:dyDescent="0.25">
      <c r="A1" s="15" t="s">
        <v>25</v>
      </c>
      <c r="B1" s="16" t="s">
        <v>28</v>
      </c>
      <c r="C1" s="16" t="s">
        <v>42</v>
      </c>
      <c r="D1" s="18" t="s">
        <v>43</v>
      </c>
    </row>
    <row r="2" spans="1:4" x14ac:dyDescent="0.25">
      <c r="A2" s="13">
        <v>101</v>
      </c>
      <c r="B2" s="6" t="s">
        <v>44</v>
      </c>
      <c r="C2" s="7">
        <v>0.1</v>
      </c>
      <c r="D2" s="23">
        <f>IF(ISNUMBER(10%),10%*50000,50000*0.1)</f>
        <v>5000</v>
      </c>
    </row>
    <row r="3" spans="1:4" x14ac:dyDescent="0.25">
      <c r="A3" s="13">
        <v>102</v>
      </c>
      <c r="B3" s="6" t="s">
        <v>21</v>
      </c>
      <c r="C3" s="6"/>
      <c r="D3" s="23">
        <f>IF(ISNUMBER(10%),10%*55000,55000*0.1)</f>
        <v>5500</v>
      </c>
    </row>
    <row r="4" spans="1:4" x14ac:dyDescent="0.25">
      <c r="A4" s="13">
        <v>103</v>
      </c>
      <c r="B4" s="6" t="s">
        <v>45</v>
      </c>
      <c r="C4" s="7">
        <v>0.12</v>
      </c>
      <c r="D4" s="23">
        <f>IF(ISNUMBER(12%),12%*60000,60000*0.1)</f>
        <v>7200</v>
      </c>
    </row>
    <row r="5" spans="1:4" x14ac:dyDescent="0.25">
      <c r="A5" s="13">
        <v>104</v>
      </c>
      <c r="B5" s="6" t="s">
        <v>46</v>
      </c>
      <c r="C5" s="7">
        <v>0.08</v>
      </c>
      <c r="D5" s="23">
        <f>IF(ISNUMBER(8%),8%*48000,48000*0.1)</f>
        <v>3840</v>
      </c>
    </row>
    <row r="6" spans="1:4" x14ac:dyDescent="0.25">
      <c r="A6" s="13">
        <v>105</v>
      </c>
      <c r="B6" s="6" t="s">
        <v>47</v>
      </c>
      <c r="C6" s="6" t="s">
        <v>48</v>
      </c>
      <c r="D6" s="23">
        <f>IF(ISNUMBER(10%),10%*52000,52000*0.1)</f>
        <v>5200</v>
      </c>
    </row>
    <row r="7" spans="1:4" x14ac:dyDescent="0.25">
      <c r="A7" s="13">
        <v>106</v>
      </c>
      <c r="B7" s="6" t="s">
        <v>49</v>
      </c>
      <c r="C7" s="7">
        <v>0.09</v>
      </c>
      <c r="D7" s="23">
        <f>IF(ISNUMBER(9%),9%*49500,49500*0.1)</f>
        <v>4455</v>
      </c>
    </row>
    <row r="8" spans="1:4" x14ac:dyDescent="0.25">
      <c r="A8" s="13">
        <v>107</v>
      </c>
      <c r="B8" s="6" t="s">
        <v>50</v>
      </c>
      <c r="C8" s="7">
        <v>0.11</v>
      </c>
      <c r="D8" s="23">
        <f>IF(ISNUMBER(11%),11%*57500,57500*0.1)</f>
        <v>6325</v>
      </c>
    </row>
    <row r="9" spans="1:4" x14ac:dyDescent="0.25">
      <c r="A9" s="13">
        <v>108</v>
      </c>
      <c r="B9" s="6" t="s">
        <v>51</v>
      </c>
      <c r="C9" s="6"/>
      <c r="D9" s="23">
        <f>IF(ISNUMBER(10%),10%*54000,54000*0.1)</f>
        <v>5400</v>
      </c>
    </row>
    <row r="10" spans="1:4" x14ac:dyDescent="0.25">
      <c r="A10" s="13">
        <v>109</v>
      </c>
      <c r="B10" s="6" t="s">
        <v>52</v>
      </c>
      <c r="C10" s="7">
        <v>0.13</v>
      </c>
      <c r="D10" s="23">
        <f>IF(ISNUMBER(13%),13%*61500,61500*0.1)</f>
        <v>7995</v>
      </c>
    </row>
    <row r="11" spans="1:4" x14ac:dyDescent="0.25">
      <c r="A11" s="19">
        <v>110</v>
      </c>
      <c r="B11" s="20" t="s">
        <v>53</v>
      </c>
      <c r="C11" s="25">
        <v>0.1</v>
      </c>
      <c r="D11" s="24">
        <f>IF(ISNUMBER(10%),10%*58000,58000*0.1)</f>
        <v>5800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FCFE2B0-D9FA-4274-AAB4-CC747DBF3344}">
  <ds:schemaRefs/>
</ds:datastoreItem>
</file>

<file path=customXml/itemProps2.xml><?xml version="1.0" encoding="utf-8"?>
<ds:datastoreItem xmlns:ds="http://schemas.openxmlformats.org/officeDocument/2006/customXml" ds:itemID="{B17AC52A-0237-4424-BFF6-A69760E6B88A}">
  <ds:schemaRefs/>
</ds:datastoreItem>
</file>

<file path=customXml/itemProps3.xml><?xml version="1.0" encoding="utf-8"?>
<ds:datastoreItem xmlns:ds="http://schemas.openxmlformats.org/officeDocument/2006/customXml" ds:itemID="{85C6D716-CD7A-4F0B-B996-85494651F2D6}">
  <ds:schemaRefs/>
</ds:datastoreItem>
</file>

<file path=customXml/itemProps4.xml><?xml version="1.0" encoding="utf-8"?>
<ds:datastoreItem xmlns:ds="http://schemas.openxmlformats.org/officeDocument/2006/customXml" ds:itemID="{B97FC831-3952-4B1C-AA9F-CE0BB5B8E5C8}">
  <ds:schemaRefs/>
</ds:datastoreItem>
</file>

<file path=customXml/itemProps5.xml><?xml version="1.0" encoding="utf-8"?>
<ds:datastoreItem xmlns:ds="http://schemas.openxmlformats.org/officeDocument/2006/customXml" ds:itemID="{873D2AE3-098B-46AD-9C6C-3EFC0296B237}">
  <ds:schemaRefs/>
</ds:datastoreItem>
</file>

<file path=customXml/itemProps6.xml><?xml version="1.0" encoding="utf-8"?>
<ds:datastoreItem xmlns:ds="http://schemas.openxmlformats.org/officeDocument/2006/customXml" ds:itemID="{47090130-4DFE-4F8F-B6BB-612F80568A23}">
  <ds:schemaRefs/>
</ds:datastoreItem>
</file>

<file path=customXml/itemProps7.xml><?xml version="1.0" encoding="utf-8"?>
<ds:datastoreItem xmlns:ds="http://schemas.openxmlformats.org/officeDocument/2006/customXml" ds:itemID="{1D74D379-F7DB-4F81-AB8C-E3DB8D23024F}">
  <ds:schemaRefs/>
</ds:datastoreItem>
</file>

<file path=customXml/itemProps8.xml><?xml version="1.0" encoding="utf-8"?>
<ds:datastoreItem xmlns:ds="http://schemas.openxmlformats.org/officeDocument/2006/customXml" ds:itemID="{01442881-3FA3-4E9F-B568-660B2ABFCEC6}">
  <ds:schemaRefs/>
</ds:datastoreItem>
</file>

<file path=customXml/itemProps9.xml><?xml version="1.0" encoding="utf-8"?>
<ds:datastoreItem xmlns:ds="http://schemas.openxmlformats.org/officeDocument/2006/customXml" ds:itemID="{777EC5A4-5985-4633-9240-08DE0BB4FADC}">
  <ds:schemaRefs/>
</ds:datastoreItem>
</file>

<file path=customXml/itemProps10.xml><?xml version="1.0" encoding="utf-8"?>
<ds:datastoreItem xmlns:ds="http://schemas.openxmlformats.org/officeDocument/2006/customXml" ds:itemID="{B6C8F3E8-8E3E-48F9-AB96-F06EDF8F5D69}">
  <ds:schemaRefs/>
</ds:datastoreItem>
</file>

<file path=customXml/itemProps11.xml><?xml version="1.0" encoding="utf-8"?>
<ds:datastoreItem xmlns:ds="http://schemas.openxmlformats.org/officeDocument/2006/customXml" ds:itemID="{D05E6E44-F6B1-45BF-B4CE-EBAED4BD0D6F}">
  <ds:schemaRefs/>
</ds:datastoreItem>
</file>

<file path=customXml/itemProps12.xml><?xml version="1.0" encoding="utf-8"?>
<ds:datastoreItem xmlns:ds="http://schemas.openxmlformats.org/officeDocument/2006/customXml" ds:itemID="{2620AA1F-F010-4345-92B5-BFBD659A3202}">
  <ds:schemaRefs/>
</ds:datastoreItem>
</file>

<file path=customXml/itemProps13.xml><?xml version="1.0" encoding="utf-8"?>
<ds:datastoreItem xmlns:ds="http://schemas.openxmlformats.org/officeDocument/2006/customXml" ds:itemID="{FB3B3E27-1873-487C-8FF8-36F9FEA075A9}">
  <ds:schemaRefs/>
</ds:datastoreItem>
</file>

<file path=customXml/itemProps14.xml><?xml version="1.0" encoding="utf-8"?>
<ds:datastoreItem xmlns:ds="http://schemas.openxmlformats.org/officeDocument/2006/customXml" ds:itemID="{49021A2C-E1B1-45F0-B9E3-E3C81AE71A88}">
  <ds:schemaRefs/>
</ds:datastoreItem>
</file>

<file path=customXml/itemProps15.xml><?xml version="1.0" encoding="utf-8"?>
<ds:datastoreItem xmlns:ds="http://schemas.openxmlformats.org/officeDocument/2006/customXml" ds:itemID="{8DFAF2D4-9E3F-46EE-90E8-7F1A58879A31}">
  <ds:schemaRefs/>
</ds:datastoreItem>
</file>

<file path=customXml/itemProps16.xml><?xml version="1.0" encoding="utf-8"?>
<ds:datastoreItem xmlns:ds="http://schemas.openxmlformats.org/officeDocument/2006/customXml" ds:itemID="{47993BEC-AD79-434D-B228-EDE307A6C4BB}">
  <ds:schemaRefs/>
</ds:datastoreItem>
</file>

<file path=customXml/itemProps17.xml><?xml version="1.0" encoding="utf-8"?>
<ds:datastoreItem xmlns:ds="http://schemas.openxmlformats.org/officeDocument/2006/customXml" ds:itemID="{29F0B635-CFF9-4AA5-8531-EF5EC204A3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</vt:lpstr>
      <vt:lpstr>data Employee</vt:lpstr>
      <vt:lpstr>data Department</vt:lpstr>
      <vt:lpstr>Summary</vt:lpstr>
      <vt:lpstr>data Salary Bonus Calculation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b</cp:lastModifiedBy>
  <dcterms:modified xsi:type="dcterms:W3CDTF">2025-04-21T10:45:46Z</dcterms:modified>
</cp:coreProperties>
</file>